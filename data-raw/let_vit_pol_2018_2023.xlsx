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el.rocha\Documents\Projetos R\Boletim_sdpa\data-raw\"/>
    </mc:Choice>
  </mc:AlternateContent>
  <bookViews>
    <workbookView xWindow="0" yWindow="0" windowWidth="20490" windowHeight="7755" activeTab="2"/>
  </bookViews>
  <sheets>
    <sheet name="let_macroreg" sheetId="2" r:id="rId1"/>
    <sheet name="let_servico_folga" sheetId="3" r:id="rId2"/>
    <sheet name="vit_macroreg" sheetId="4" r:id="rId3"/>
    <sheet name="vit_servico_folga" sheetId="5" r:id="rId4"/>
  </sheets>
  <calcPr calcId="152511"/>
  <extLst>
    <ext uri="GoogleSheetsCustomDataVersion2">
      <go:sheetsCustomData xmlns:go="http://customooxmlschemas.google.com/" r:id="rId12" roundtripDataChecksum="YyRv5Y7xgxz4F5xScTEZULHtcuavsg8Yv/l/t5wkTLU="/>
    </ext>
  </extLst>
</workbook>
</file>

<file path=xl/calcChain.xml><?xml version="1.0" encoding="utf-8"?>
<calcChain xmlns="http://schemas.openxmlformats.org/spreadsheetml/2006/main">
  <c r="C3" i="4" l="1"/>
  <c r="C5" i="4"/>
  <c r="C3" i="5"/>
  <c r="C2" i="5"/>
  <c r="C7" i="4"/>
  <c r="C8" i="4"/>
  <c r="C9" i="4"/>
  <c r="C5" i="5"/>
  <c r="C4" i="5"/>
  <c r="C13" i="4"/>
  <c r="C10" i="4"/>
  <c r="C7" i="5"/>
  <c r="C11" i="4"/>
  <c r="C12" i="4"/>
  <c r="C15" i="4"/>
  <c r="C17" i="4"/>
  <c r="C8" i="5"/>
  <c r="C9" i="5"/>
  <c r="C14" i="4"/>
  <c r="C16" i="4"/>
  <c r="C18" i="4"/>
  <c r="C20" i="4"/>
  <c r="C19" i="4"/>
  <c r="C21" i="4"/>
  <c r="C11" i="5"/>
  <c r="C10" i="5"/>
  <c r="C2" i="4" l="1"/>
  <c r="C6" i="4"/>
</calcChain>
</file>

<file path=xl/sharedStrings.xml><?xml version="1.0" encoding="utf-8"?>
<sst xmlns="http://schemas.openxmlformats.org/spreadsheetml/2006/main" count="132" uniqueCount="19">
  <si>
    <t>Pessoas Mortas pelas Polícias em Serviço</t>
  </si>
  <si>
    <t>Pessoas Mortas pelas Polícias em Folga</t>
  </si>
  <si>
    <t>Capital</t>
  </si>
  <si>
    <t>Grande São Paulo</t>
  </si>
  <si>
    <t>Interior</t>
  </si>
  <si>
    <t>crime</t>
  </si>
  <si>
    <t>periodo</t>
  </si>
  <si>
    <t>let_total</t>
  </si>
  <si>
    <t>regiao</t>
  </si>
  <si>
    <t>Estado</t>
  </si>
  <si>
    <t>total</t>
  </si>
  <si>
    <t>1º semestre 2019</t>
  </si>
  <si>
    <t>1º semestre 2020</t>
  </si>
  <si>
    <t>1º semestre 2021</t>
  </si>
  <si>
    <t>1º semestre 2022</t>
  </si>
  <si>
    <t>1º semestre 2023</t>
  </si>
  <si>
    <t>vit_total</t>
  </si>
  <si>
    <t>Policiais mortos em Serviço</t>
  </si>
  <si>
    <t>Policiais mortos em Folga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</si>
</sst>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medium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2" fillId="0" borderId="0" xfId="0" applyFont="1" applyAlignment="1"/>
    <xf numFmtId="3" fontId="0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sqref="A1:C21"/>
    </sheetView>
  </sheetViews>
  <sheetFormatPr defaultRowHeight="15" x14ac:dyDescent="0.25"/>
  <cols>
    <col min="1" max="1" width="19.42578125" customWidth="1"/>
    <col min="2" max="2" width="17.28515625" customWidth="1"/>
    <col min="3" max="3" width="12" customWidth="1"/>
  </cols>
  <sheetData>
    <row r="1" spans="1:3" x14ac:dyDescent="0.25">
      <c r="A1" s="3" t="s">
        <v>6</v>
      </c>
      <c r="B1" s="5" t="s">
        <v>8</v>
      </c>
      <c r="C1" s="5" t="s">
        <v>7</v>
      </c>
    </row>
    <row r="2" spans="1:3" x14ac:dyDescent="0.25">
      <c r="A2" s="4" t="s">
        <v>11</v>
      </c>
      <c r="B2" s="5" t="s">
        <v>9</v>
      </c>
      <c r="C2" s="6">
        <v>426</v>
      </c>
    </row>
    <row r="3" spans="1:3" x14ac:dyDescent="0.25">
      <c r="A3" s="4" t="s">
        <v>11</v>
      </c>
      <c r="B3" s="5" t="s">
        <v>4</v>
      </c>
      <c r="C3" s="6">
        <v>160</v>
      </c>
    </row>
    <row r="4" spans="1:3" x14ac:dyDescent="0.25">
      <c r="A4" s="4" t="s">
        <v>11</v>
      </c>
      <c r="B4" s="5" t="s">
        <v>3</v>
      </c>
      <c r="C4" s="6">
        <v>72</v>
      </c>
    </row>
    <row r="5" spans="1:3" x14ac:dyDescent="0.25">
      <c r="A5" s="4" t="s">
        <v>11</v>
      </c>
      <c r="B5" s="5" t="s">
        <v>2</v>
      </c>
      <c r="C5" s="6">
        <v>194</v>
      </c>
    </row>
    <row r="6" spans="1:3" x14ac:dyDescent="0.25">
      <c r="A6" s="4" t="s">
        <v>12</v>
      </c>
      <c r="B6" s="5" t="s">
        <v>9</v>
      </c>
      <c r="C6" s="6">
        <v>514</v>
      </c>
    </row>
    <row r="7" spans="1:3" x14ac:dyDescent="0.25">
      <c r="A7" s="4" t="s">
        <v>12</v>
      </c>
      <c r="B7" s="5" t="s">
        <v>4</v>
      </c>
      <c r="C7" s="6">
        <v>178</v>
      </c>
    </row>
    <row r="8" spans="1:3" x14ac:dyDescent="0.25">
      <c r="A8" s="4" t="s">
        <v>12</v>
      </c>
      <c r="B8" s="5" t="s">
        <v>3</v>
      </c>
      <c r="C8" s="6">
        <v>111</v>
      </c>
    </row>
    <row r="9" spans="1:3" x14ac:dyDescent="0.25">
      <c r="A9" s="4" t="s">
        <v>12</v>
      </c>
      <c r="B9" s="5" t="s">
        <v>2</v>
      </c>
      <c r="C9" s="6">
        <v>225</v>
      </c>
    </row>
    <row r="10" spans="1:3" x14ac:dyDescent="0.25">
      <c r="A10" s="4" t="s">
        <v>13</v>
      </c>
      <c r="B10" s="5" t="s">
        <v>9</v>
      </c>
      <c r="C10" s="6">
        <v>343</v>
      </c>
    </row>
    <row r="11" spans="1:3" x14ac:dyDescent="0.25">
      <c r="A11" s="4" t="s">
        <v>13</v>
      </c>
      <c r="B11" s="5" t="s">
        <v>4</v>
      </c>
      <c r="C11" s="6">
        <v>106</v>
      </c>
    </row>
    <row r="12" spans="1:3" x14ac:dyDescent="0.25">
      <c r="A12" s="4" t="s">
        <v>13</v>
      </c>
      <c r="B12" s="5" t="s">
        <v>3</v>
      </c>
      <c r="C12" s="6">
        <v>63</v>
      </c>
    </row>
    <row r="13" spans="1:3" x14ac:dyDescent="0.25">
      <c r="A13" s="4" t="s">
        <v>13</v>
      </c>
      <c r="B13" s="5" t="s">
        <v>2</v>
      </c>
      <c r="C13" s="6">
        <v>174</v>
      </c>
    </row>
    <row r="14" spans="1:3" x14ac:dyDescent="0.25">
      <c r="A14" s="4" t="s">
        <v>14</v>
      </c>
      <c r="B14" s="5" t="s">
        <v>9</v>
      </c>
      <c r="C14" s="6">
        <v>202</v>
      </c>
    </row>
    <row r="15" spans="1:3" x14ac:dyDescent="0.25">
      <c r="A15" s="4" t="s">
        <v>14</v>
      </c>
      <c r="B15" s="5" t="s">
        <v>4</v>
      </c>
      <c r="C15" s="6">
        <v>81</v>
      </c>
    </row>
    <row r="16" spans="1:3" x14ac:dyDescent="0.25">
      <c r="A16" s="4" t="s">
        <v>14</v>
      </c>
      <c r="B16" s="5" t="s">
        <v>3</v>
      </c>
      <c r="C16" s="6">
        <v>29</v>
      </c>
    </row>
    <row r="17" spans="1:3" x14ac:dyDescent="0.25">
      <c r="A17" s="4" t="s">
        <v>14</v>
      </c>
      <c r="B17" s="5" t="s">
        <v>2</v>
      </c>
      <c r="C17" s="6">
        <v>92</v>
      </c>
    </row>
    <row r="18" spans="1:3" x14ac:dyDescent="0.25">
      <c r="A18" s="4" t="s">
        <v>15</v>
      </c>
      <c r="B18" s="5" t="s">
        <v>9</v>
      </c>
      <c r="C18" s="6">
        <v>222</v>
      </c>
    </row>
    <row r="19" spans="1:3" x14ac:dyDescent="0.25">
      <c r="A19" s="4" t="s">
        <v>15</v>
      </c>
      <c r="B19" s="5" t="s">
        <v>4</v>
      </c>
      <c r="C19" s="6">
        <v>86</v>
      </c>
    </row>
    <row r="20" spans="1:3" x14ac:dyDescent="0.25">
      <c r="A20" s="4" t="s">
        <v>15</v>
      </c>
      <c r="B20" s="5" t="s">
        <v>3</v>
      </c>
      <c r="C20" s="6">
        <v>31</v>
      </c>
    </row>
    <row r="21" spans="1:3" x14ac:dyDescent="0.25">
      <c r="A21" s="4" t="s">
        <v>15</v>
      </c>
      <c r="B21" s="5" t="s">
        <v>2</v>
      </c>
      <c r="C21" s="6">
        <v>105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10" sqref="A10:A11"/>
    </sheetView>
  </sheetViews>
  <sheetFormatPr defaultRowHeight="15" x14ac:dyDescent="0.25"/>
  <cols>
    <col min="1" max="1" width="24.42578125" customWidth="1"/>
    <col min="2" max="2" width="37.85546875" customWidth="1"/>
  </cols>
  <sheetData>
    <row r="1" spans="1:3" x14ac:dyDescent="0.25">
      <c r="A1" s="3" t="s">
        <v>6</v>
      </c>
      <c r="B1" s="5" t="s">
        <v>5</v>
      </c>
      <c r="C1" s="5" t="s">
        <v>10</v>
      </c>
    </row>
    <row r="2" spans="1:3" x14ac:dyDescent="0.25">
      <c r="A2" s="4" t="s">
        <v>11</v>
      </c>
      <c r="B2" s="1" t="s">
        <v>0</v>
      </c>
      <c r="C2" s="6">
        <v>367</v>
      </c>
    </row>
    <row r="3" spans="1:3" ht="15.75" thickBot="1" x14ac:dyDescent="0.3">
      <c r="A3" s="4" t="s">
        <v>11</v>
      </c>
      <c r="B3" s="2" t="s">
        <v>1</v>
      </c>
      <c r="C3">
        <v>59</v>
      </c>
    </row>
    <row r="4" spans="1:3" x14ac:dyDescent="0.25">
      <c r="A4" s="4" t="s">
        <v>12</v>
      </c>
      <c r="B4" s="1" t="s">
        <v>0</v>
      </c>
      <c r="C4">
        <v>442</v>
      </c>
    </row>
    <row r="5" spans="1:3" ht="15.75" thickBot="1" x14ac:dyDescent="0.3">
      <c r="A5" s="4" t="s">
        <v>12</v>
      </c>
      <c r="B5" s="2" t="s">
        <v>1</v>
      </c>
      <c r="C5">
        <v>72</v>
      </c>
    </row>
    <row r="6" spans="1:3" x14ac:dyDescent="0.25">
      <c r="A6" s="4" t="s">
        <v>13</v>
      </c>
      <c r="B6" s="1" t="s">
        <v>0</v>
      </c>
      <c r="C6">
        <v>279</v>
      </c>
    </row>
    <row r="7" spans="1:3" ht="15.75" thickBot="1" x14ac:dyDescent="0.3">
      <c r="A7" s="4" t="s">
        <v>13</v>
      </c>
      <c r="B7" s="2" t="s">
        <v>1</v>
      </c>
      <c r="C7">
        <v>64</v>
      </c>
    </row>
    <row r="8" spans="1:3" x14ac:dyDescent="0.25">
      <c r="A8" s="4" t="s">
        <v>14</v>
      </c>
      <c r="B8" s="1" t="s">
        <v>0</v>
      </c>
      <c r="C8">
        <v>133</v>
      </c>
    </row>
    <row r="9" spans="1:3" ht="15.75" thickBot="1" x14ac:dyDescent="0.3">
      <c r="A9" s="4" t="s">
        <v>14</v>
      </c>
      <c r="B9" s="2" t="s">
        <v>1</v>
      </c>
      <c r="C9">
        <v>69</v>
      </c>
    </row>
    <row r="10" spans="1:3" x14ac:dyDescent="0.25">
      <c r="A10" s="4" t="s">
        <v>15</v>
      </c>
      <c r="B10" s="1" t="s">
        <v>0</v>
      </c>
      <c r="C10">
        <v>171</v>
      </c>
    </row>
    <row r="11" spans="1:3" ht="15.75" thickBot="1" x14ac:dyDescent="0.3">
      <c r="A11" s="4" t="s">
        <v>15</v>
      </c>
      <c r="B11" s="2" t="s">
        <v>1</v>
      </c>
      <c r="C11">
        <v>51</v>
      </c>
    </row>
    <row r="12" spans="1:3" x14ac:dyDescent="0.25">
      <c r="A12" s="4"/>
    </row>
    <row r="13" spans="1:3" x14ac:dyDescent="0.25">
      <c r="A13" s="4"/>
    </row>
    <row r="15" spans="1:3" x14ac:dyDescent="0.25">
      <c r="A15" s="4"/>
    </row>
    <row r="16" spans="1:3" x14ac:dyDescent="0.25">
      <c r="A16" s="4"/>
    </row>
    <row r="17" spans="1:1" x14ac:dyDescent="0.25">
      <c r="A17" s="4"/>
    </row>
    <row r="18" spans="1:1" x14ac:dyDescent="0.25">
      <c r="A18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E5" sqref="E5"/>
    </sheetView>
  </sheetViews>
  <sheetFormatPr defaultRowHeight="15" x14ac:dyDescent="0.25"/>
  <cols>
    <col min="1" max="1" width="19.42578125" customWidth="1"/>
    <col min="2" max="2" width="17.28515625" customWidth="1"/>
    <col min="3" max="3" width="12" customWidth="1"/>
  </cols>
  <sheetData>
    <row r="1" spans="1:3" x14ac:dyDescent="0.25">
      <c r="A1" s="3" t="s">
        <v>6</v>
      </c>
      <c r="B1" s="5" t="s">
        <v>8</v>
      </c>
      <c r="C1" s="7" t="s">
        <v>16</v>
      </c>
    </row>
    <row r="2" spans="1:3" x14ac:dyDescent="0.25">
      <c r="A2" s="4" t="s">
        <v>11</v>
      </c>
      <c r="B2" s="5" t="s">
        <v>9</v>
      </c>
      <c r="C2" s="6">
        <f>SUM(C3:C5)</f>
        <v>16</v>
      </c>
    </row>
    <row r="3" spans="1:3" x14ac:dyDescent="0.25">
      <c r="A3" s="4" t="s">
        <v>11</v>
      </c>
      <c r="B3" s="5" t="s">
        <v>4</v>
      </c>
      <c r="C3">
        <f>1+3</f>
        <v>4</v>
      </c>
    </row>
    <row r="4" spans="1:3" x14ac:dyDescent="0.25">
      <c r="A4" s="4" t="s">
        <v>11</v>
      </c>
      <c r="B4" s="5" t="s">
        <v>3</v>
      </c>
      <c r="C4">
        <v>1</v>
      </c>
    </row>
    <row r="5" spans="1:3" x14ac:dyDescent="0.25">
      <c r="A5" s="4" t="s">
        <v>11</v>
      </c>
      <c r="B5" s="5" t="s">
        <v>2</v>
      </c>
      <c r="C5">
        <f>2+2+7</f>
        <v>11</v>
      </c>
    </row>
    <row r="6" spans="1:3" x14ac:dyDescent="0.25">
      <c r="A6" s="4" t="s">
        <v>12</v>
      </c>
      <c r="B6" s="5" t="s">
        <v>9</v>
      </c>
      <c r="C6" s="6">
        <f>SUM(C7:C9)</f>
        <v>28</v>
      </c>
    </row>
    <row r="7" spans="1:3" x14ac:dyDescent="0.25">
      <c r="A7" s="4" t="s">
        <v>12</v>
      </c>
      <c r="B7" s="5" t="s">
        <v>4</v>
      </c>
      <c r="C7" s="6">
        <f>5+7</f>
        <v>12</v>
      </c>
    </row>
    <row r="8" spans="1:3" x14ac:dyDescent="0.25">
      <c r="A8" s="4" t="s">
        <v>12</v>
      </c>
      <c r="B8" s="5" t="s">
        <v>3</v>
      </c>
      <c r="C8" s="6">
        <f>1+1+1</f>
        <v>3</v>
      </c>
    </row>
    <row r="9" spans="1:3" x14ac:dyDescent="0.25">
      <c r="A9" s="4" t="s">
        <v>12</v>
      </c>
      <c r="B9" s="7" t="s">
        <v>2</v>
      </c>
      <c r="C9" s="6">
        <f>3+5+5</f>
        <v>13</v>
      </c>
    </row>
    <row r="10" spans="1:3" x14ac:dyDescent="0.25">
      <c r="A10" s="4" t="s">
        <v>13</v>
      </c>
      <c r="B10" s="5" t="s">
        <v>9</v>
      </c>
      <c r="C10" s="6">
        <f>SUM(C11:C13)</f>
        <v>11</v>
      </c>
    </row>
    <row r="11" spans="1:3" x14ac:dyDescent="0.25">
      <c r="A11" s="4" t="s">
        <v>13</v>
      </c>
      <c r="B11" s="5" t="s">
        <v>4</v>
      </c>
      <c r="C11" s="6">
        <f>3+1</f>
        <v>4</v>
      </c>
    </row>
    <row r="12" spans="1:3" x14ac:dyDescent="0.25">
      <c r="A12" s="4" t="s">
        <v>13</v>
      </c>
      <c r="B12" s="5" t="s">
        <v>3</v>
      </c>
      <c r="C12" s="6">
        <f>1+2</f>
        <v>3</v>
      </c>
    </row>
    <row r="13" spans="1:3" x14ac:dyDescent="0.25">
      <c r="A13" s="4" t="s">
        <v>13</v>
      </c>
      <c r="B13" s="5" t="s">
        <v>2</v>
      </c>
      <c r="C13" s="6">
        <f>1+1+2</f>
        <v>4</v>
      </c>
    </row>
    <row r="14" spans="1:3" x14ac:dyDescent="0.25">
      <c r="A14" s="4" t="s">
        <v>14</v>
      </c>
      <c r="B14" s="5" t="s">
        <v>9</v>
      </c>
      <c r="C14" s="6">
        <f>SUM(C15:C17)</f>
        <v>17</v>
      </c>
    </row>
    <row r="15" spans="1:3" x14ac:dyDescent="0.25">
      <c r="A15" s="4" t="s">
        <v>14</v>
      </c>
      <c r="B15" s="5" t="s">
        <v>4</v>
      </c>
      <c r="C15" s="6">
        <f>4+1+1+1</f>
        <v>7</v>
      </c>
    </row>
    <row r="16" spans="1:3" x14ac:dyDescent="0.25">
      <c r="A16" s="4" t="s">
        <v>14</v>
      </c>
      <c r="B16" s="5" t="s">
        <v>3</v>
      </c>
      <c r="C16" s="6">
        <f>1+1</f>
        <v>2</v>
      </c>
    </row>
    <row r="17" spans="1:3" x14ac:dyDescent="0.25">
      <c r="A17" s="4" t="s">
        <v>14</v>
      </c>
      <c r="B17" s="5" t="s">
        <v>2</v>
      </c>
      <c r="C17" s="6">
        <f>1+6+1</f>
        <v>8</v>
      </c>
    </row>
    <row r="18" spans="1:3" x14ac:dyDescent="0.25">
      <c r="A18" s="4" t="s">
        <v>15</v>
      </c>
      <c r="B18" s="5" t="s">
        <v>9</v>
      </c>
      <c r="C18" s="6">
        <f>SUM(C19:C21)</f>
        <v>15</v>
      </c>
    </row>
    <row r="19" spans="1:3" x14ac:dyDescent="0.25">
      <c r="A19" s="4" t="s">
        <v>15</v>
      </c>
      <c r="B19" s="5" t="s">
        <v>4</v>
      </c>
      <c r="C19" s="6">
        <f>2+1+1+3</f>
        <v>7</v>
      </c>
    </row>
    <row r="20" spans="1:3" x14ac:dyDescent="0.25">
      <c r="A20" s="4" t="s">
        <v>15</v>
      </c>
      <c r="B20" s="5" t="s">
        <v>3</v>
      </c>
      <c r="C20" s="6">
        <f>1+1</f>
        <v>2</v>
      </c>
    </row>
    <row r="21" spans="1:3" x14ac:dyDescent="0.25">
      <c r="A21" s="4" t="s">
        <v>15</v>
      </c>
      <c r="B21" s="5" t="s">
        <v>2</v>
      </c>
      <c r="C21" s="6">
        <f>2+4</f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4" sqref="C4"/>
    </sheetView>
  </sheetViews>
  <sheetFormatPr defaultRowHeight="15" x14ac:dyDescent="0.25"/>
  <cols>
    <col min="1" max="1" width="24.42578125" customWidth="1"/>
    <col min="2" max="2" width="37.85546875" customWidth="1"/>
  </cols>
  <sheetData>
    <row r="1" spans="1:3" x14ac:dyDescent="0.25">
      <c r="A1" s="3" t="s">
        <v>6</v>
      </c>
      <c r="B1" s="5" t="s">
        <v>5</v>
      </c>
      <c r="C1" s="5" t="s">
        <v>10</v>
      </c>
    </row>
    <row r="2" spans="1:3" x14ac:dyDescent="0.25">
      <c r="A2" s="4" t="s">
        <v>11</v>
      </c>
      <c r="B2" s="1" t="s">
        <v>17</v>
      </c>
      <c r="C2">
        <f>2+2+5</f>
        <v>9</v>
      </c>
    </row>
    <row r="3" spans="1:3" ht="15.75" thickBot="1" x14ac:dyDescent="0.3">
      <c r="A3" s="4" t="s">
        <v>11</v>
      </c>
      <c r="B3" s="2" t="s">
        <v>18</v>
      </c>
      <c r="C3">
        <f>1+6</f>
        <v>7</v>
      </c>
    </row>
    <row r="4" spans="1:3" x14ac:dyDescent="0.25">
      <c r="A4" s="4" t="s">
        <v>12</v>
      </c>
      <c r="B4" s="1" t="s">
        <v>17</v>
      </c>
      <c r="C4">
        <f>2+6+6</f>
        <v>14</v>
      </c>
    </row>
    <row r="5" spans="1:3" ht="15.75" thickBot="1" x14ac:dyDescent="0.3">
      <c r="A5" s="4" t="s">
        <v>12</v>
      </c>
      <c r="B5" s="2" t="s">
        <v>18</v>
      </c>
      <c r="C5">
        <f>2+7+5</f>
        <v>14</v>
      </c>
    </row>
    <row r="6" spans="1:3" x14ac:dyDescent="0.25">
      <c r="A6" s="4" t="s">
        <v>13</v>
      </c>
      <c r="B6" s="1" t="s">
        <v>17</v>
      </c>
      <c r="C6">
        <v>0</v>
      </c>
    </row>
    <row r="7" spans="1:3" ht="15.75" thickBot="1" x14ac:dyDescent="0.3">
      <c r="A7" s="4" t="s">
        <v>13</v>
      </c>
      <c r="B7" s="2" t="s">
        <v>18</v>
      </c>
      <c r="C7">
        <f>2+5+2+2</f>
        <v>11</v>
      </c>
    </row>
    <row r="8" spans="1:3" x14ac:dyDescent="0.25">
      <c r="A8" s="4" t="s">
        <v>14</v>
      </c>
      <c r="B8" s="1" t="s">
        <v>17</v>
      </c>
      <c r="C8">
        <f>1+1+2</f>
        <v>4</v>
      </c>
    </row>
    <row r="9" spans="1:3" ht="15.75" thickBot="1" x14ac:dyDescent="0.3">
      <c r="A9" s="4" t="s">
        <v>14</v>
      </c>
      <c r="B9" s="2" t="s">
        <v>18</v>
      </c>
      <c r="C9">
        <f>5+7+1</f>
        <v>13</v>
      </c>
    </row>
    <row r="10" spans="1:3" x14ac:dyDescent="0.25">
      <c r="A10" s="4" t="s">
        <v>15</v>
      </c>
      <c r="B10" s="1" t="s">
        <v>17</v>
      </c>
      <c r="C10" s="6">
        <f>1+2+1+3</f>
        <v>7</v>
      </c>
    </row>
    <row r="11" spans="1:3" ht="15.75" thickBot="1" x14ac:dyDescent="0.3">
      <c r="A11" s="4" t="s">
        <v>15</v>
      </c>
      <c r="B11" s="2" t="s">
        <v>18</v>
      </c>
      <c r="C11" s="6">
        <f>1+1+1+5</f>
        <v>8</v>
      </c>
    </row>
    <row r="12" spans="1:3" x14ac:dyDescent="0.25">
      <c r="A12" s="4"/>
    </row>
    <row r="13" spans="1:3" x14ac:dyDescent="0.25">
      <c r="A13" s="4"/>
    </row>
    <row r="15" spans="1:3" x14ac:dyDescent="0.25">
      <c r="A15" s="4"/>
    </row>
    <row r="16" spans="1:3" x14ac:dyDescent="0.25">
      <c r="A16" s="4"/>
    </row>
    <row r="17" spans="1:1" x14ac:dyDescent="0.25">
      <c r="A17" s="4"/>
    </row>
    <row r="18" spans="1:1" x14ac:dyDescent="0.25">
      <c r="A18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let_macroreg</vt:lpstr>
      <vt:lpstr>let_servico_folga</vt:lpstr>
      <vt:lpstr>vit_macroreg</vt:lpstr>
      <vt:lpstr>vit_servico_folga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</dc:creator>
  <cp:lastModifiedBy>Rafael2 Rocha</cp:lastModifiedBy>
  <dcterms:created xsi:type="dcterms:W3CDTF">2022-10-26T13:58:22Z</dcterms:created>
  <dcterms:modified xsi:type="dcterms:W3CDTF">2023-07-28T15:05:32Z</dcterms:modified>
</cp:coreProperties>
</file>